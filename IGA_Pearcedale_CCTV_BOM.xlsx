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dware BOM" sheetId="1" r:id="rId1"/>
    <sheet name="Budget &amp; Pricing Analysis" sheetId="2" r:id="rId2"/>
    <sheet name="Workload &amp; Sizing Specs" sheetId="3" r:id="rId3"/>
  </sheets>
  <calcPr calcId="124519" fullCalcOnLoad="1"/>
</workbook>
</file>

<file path=xl/sharedStrings.xml><?xml version="1.0" encoding="utf-8"?>
<sst xmlns="http://schemas.openxmlformats.org/spreadsheetml/2006/main" count="296" uniqueCount="193">
  <si>
    <t>IGA Supermarket — Bill of Materials (BOM)</t>
  </si>
  <si>
    <t>32-Channel Edge AI Surveillance | Base: Intel Core i5 | RX 9060 XT (16GB) | 16GB DDR5 | 512GB SSD + NAS Storage</t>
  </si>
  <si>
    <t>Mandatory Materials</t>
  </si>
  <si>
    <t>Component</t>
  </si>
  <si>
    <t>Description / Specification</t>
  </si>
  <si>
    <t>Qty</t>
  </si>
  <si>
    <t>Dedicated AI GPU</t>
  </si>
  <si>
    <t>AMD Radeon™ RX 9060 XT (16GB GDDR6, 128-bit) [Alt: RX 7600 XT 16GB]</t>
  </si>
  <si>
    <t>1</t>
  </si>
  <si>
    <t>Host Processor (CPU)</t>
  </si>
  <si>
    <t>Intel Core i5-13400F or i5-14400F (10 Cores, 16 Threads, 65W TDP)</t>
  </si>
  <si>
    <t>Motherboard</t>
  </si>
  <si>
    <t>Intel B760M Micro-ATX (2.5GbE LAN, Dual M.2 PCIe 4.0)</t>
  </si>
  <si>
    <t>System Memory (RAM)</t>
  </si>
  <si>
    <t>16GB (2x 8GB) DDR5-5200 MHz CL36 Dual-Channel Kit</t>
  </si>
  <si>
    <t>Local Storage (SSD)</t>
  </si>
  <si>
    <t>512GB M.2 PCIe 4.0 NVMe SSD (WD Blue SN580 / Crucial P3 Plus)</t>
  </si>
  <si>
    <t>Power Supply (PSU)</t>
  </si>
  <si>
    <t>650W 80+ Bronze / Gold Certified ATX Power Supply</t>
  </si>
  <si>
    <t>Computer Chassis</t>
  </si>
  <si>
    <t>Micro-ATX High-Airflow Mesh Case with 4x Pre-installed Cooling Fans</t>
  </si>
  <si>
    <t>CPU Cooler</t>
  </si>
  <si>
    <t>Thermalright Assassin X 120 Refined SE (120mm Tower Cooler)</t>
  </si>
  <si>
    <t>Secondary Network Card</t>
  </si>
  <si>
    <t>PCIe 2.5 GbE Network Card (Realtek RTL8125B) for isolated CCTV VLAN</t>
  </si>
  <si>
    <t>48-Port PoE+ Switch</t>
  </si>
  <si>
    <t>TP-Link Omada TL-SG3452P (48× GbE PoE+, 384W Power Budget, 4× SFP)</t>
  </si>
  <si>
    <t>Cat6 Patch Panel</t>
  </si>
  <si>
    <t>1U 19" 48-Port Cat6 Unshielded Patch Panel (110 Punch-Down / Keystone)</t>
  </si>
  <si>
    <t>Rackmount 8-Outlet PDU</t>
  </si>
  <si>
    <t>1U 19" Horizontal PDU Power Strip with Surge Suppression</t>
  </si>
  <si>
    <t>Cat6 Molded Patch Leads</t>
  </si>
  <si>
    <t>0.5m &amp; 1.0m Snagless Slim Cat6 Patch Cords (Switch to Panel)</t>
  </si>
  <si>
    <t>35</t>
  </si>
  <si>
    <t>RJ45 Connectors</t>
  </si>
  <si>
    <t>Cat6 Pass-Through RJ45 8P8C Plugs + Strain Relief Boots</t>
  </si>
  <si>
    <t>100 pk</t>
  </si>
  <si>
    <t>Existing NAS Storage</t>
  </si>
  <si>
    <t>Supermarket NAS mount via NFS/SMB for 24/7 video loop (24 MB/s stream)</t>
  </si>
  <si>
    <t>Existing</t>
  </si>
  <si>
    <t>Optional Materials (Site-Dependent / Upgrades)</t>
  </si>
  <si>
    <t>Commercial 2.5GbE Router</t>
  </si>
  <si>
    <t>TP-Link Omada ER707-M2 (2x 2.5GbE, 4x GbE, 802.1Q VLANs) — Needed if current router lacks 2.5GbE/VLANs</t>
  </si>
  <si>
    <t>Battery Backup (UPS)</t>
  </si>
  <si>
    <t>APC Smart-UPS SMT1500IC 1500VA/1000W Pure Sine Wave with USB cable — Needed if site lacks 1500VA UPS</t>
  </si>
  <si>
    <t>Surveillance Cameras (32x)</t>
  </si>
  <si>
    <t>32× Dahua 4MP WizSense IP Cameras (Aisles, Produce, Bakery, Checkouts with Mic, IK10 Domes) — If replacing</t>
  </si>
  <si>
    <t>32</t>
  </si>
  <si>
    <t>32GB RAM Upgrade</t>
  </si>
  <si>
    <t>32GB (2x 16GB) DDR5-5600 CL30 — Upgrades base 16GB for 10GB RAM-disk pre-alarm buffer</t>
  </si>
  <si>
    <t>Equipment Server Cabinet</t>
  </si>
  <si>
    <t>9U or 12U Wall-Mount Network Enclosure (600mm Depth, Glass Door) — If rack space unavailable</t>
  </si>
  <si>
    <t>Bulk Cat6 Network Cable</t>
  </si>
  <si>
    <t>305m (1000ft) Box Solid Bare Copper Cat6 UTP 23AWG (2 boxes = 610m) — If re-cabling runs</t>
  </si>
  <si>
    <t>2 boxes</t>
  </si>
  <si>
    <t>Horizontal Cable Manager</t>
  </si>
  <si>
    <t>1U 19" Finger Duct Cable Management Panel with Removable Cover</t>
  </si>
  <si>
    <t>Cellular Failover Modem</t>
  </si>
  <si>
    <t>4G/5G USB LTE Dongle (Plugs into router for automatic cellular internet failover)</t>
  </si>
  <si>
    <t>Requisition Prepared By:</t>
  </si>
  <si>
    <t>Pearcedale IGA Surveillance Engineering Team</t>
  </si>
  <si>
    <t>REV 1.0 (2026)</t>
  </si>
  <si>
    <t>System Architecture:</t>
  </si>
  <si>
    <t>32-Channel Edge AI / Local RTSP Ingest / 16GB VCN &amp; ROCm Pipeline</t>
  </si>
  <si>
    <t>VERIFIED</t>
  </si>
  <si>
    <t>IGA Supermarket — Capital Expenditure &amp; Pricing Breakdown</t>
  </si>
  <si>
    <t>Procurement model based on Low/High engineering market pricing for 32-Channel Edge AI CCTV</t>
  </si>
  <si>
    <t>#</t>
  </si>
  <si>
    <t>Status</t>
  </si>
  <si>
    <t>Procurement Category</t>
  </si>
  <si>
    <t>Part Specification / Detail</t>
  </si>
  <si>
    <t>Unit</t>
  </si>
  <si>
    <t>Unit Low ($)</t>
  </si>
  <si>
    <t>Unit High ($)</t>
  </si>
  <si>
    <t>Total Low ($)</t>
  </si>
  <si>
    <t>Total High ($)</t>
  </si>
  <si>
    <t>Mandatory</t>
  </si>
  <si>
    <t>1. Edge AI PC</t>
  </si>
  <si>
    <t>AMD Radeon™ RX 9060 XT (16GB GDDR6, 128-bit)</t>
  </si>
  <si>
    <t>unit</t>
  </si>
  <si>
    <t>Intel Core i5-13400F / i5-14400F (10C/16T, 65W)</t>
  </si>
  <si>
    <t>kit</t>
  </si>
  <si>
    <t>512GB M.2 PCIe 4.0 NVMe SSD (WD Blue SN580)</t>
  </si>
  <si>
    <t>Micro-ATX High-Airflow Mesh Case + 4x Cooling Fans</t>
  </si>
  <si>
    <t>Thermalright Assassin X 120 Refined SE (120mm)</t>
  </si>
  <si>
    <t>PCIe 2.5 GbE Network Card (Realtek RTL8125B)</t>
  </si>
  <si>
    <t>2. Network Switching</t>
  </si>
  <si>
    <t>TP-Link Omada TL-SG3452P (48x GbE PoE+, 384W, 4x SFP)</t>
  </si>
  <si>
    <t>Optional</t>
  </si>
  <si>
    <t>TP-Link Omada ER707-M2 (2x 2.5G, 4x GbE, 802.1Q VLAN)</t>
  </si>
  <si>
    <t>4G/5G USB LTE Dongle (plugs into router for WAN backup)</t>
  </si>
  <si>
    <t>3. Power Protection</t>
  </si>
  <si>
    <t>1500VA Battery Backup</t>
  </si>
  <si>
    <t>APC Smart-UPS SMT1500IC 1500VA/1000W Pure Sine + USB</t>
  </si>
  <si>
    <t>4. Server Racking &amp; Cables</t>
  </si>
  <si>
    <t>1U 19" 48-Port Cat6 Unshielded Patch Panel (110)</t>
  </si>
  <si>
    <t>1U 19" Horizontal PDU Power Strip with Surge Supp.</t>
  </si>
  <si>
    <t>0.5m &amp; 1.0m Snagless Slim Cat6 Patch Cords (35-pk)</t>
  </si>
  <si>
    <t>pack</t>
  </si>
  <si>
    <t>Cat6 Pass-Through RJ45 8P8C Plugs + Boots (100-pk)</t>
  </si>
  <si>
    <t>9U or 12U Wall-Mount Network Enclosure (600mm Depth)</t>
  </si>
  <si>
    <t>305m (1000ft) Solid Copper Cat6 UTP 23AWG (2 boxes)</t>
  </si>
  <si>
    <t>box</t>
  </si>
  <si>
    <t>1U 19" Finger Duct Cable Manager with Removable Cover</t>
  </si>
  <si>
    <t>5. Surveillance Cameras</t>
  </si>
  <si>
    <t>32x Surveillance Cameras</t>
  </si>
  <si>
    <t>32x Dahua 4MP WizSense IP Cameras (Aisles, Domes, Mic)</t>
  </si>
  <si>
    <t>6. Compute Upgrades</t>
  </si>
  <si>
    <t>32GB (2x 16GB) DDR5-5600 CL30 (+35 net delta over base)</t>
  </si>
  <si>
    <t>delta</t>
  </si>
  <si>
    <t>7. Existing NAS Storage</t>
  </si>
  <si>
    <t>Supermarket NAS Mount</t>
  </si>
  <si>
    <t>Existing Supermarket NAS mount via NFS/SMB (24MB/s)</t>
  </si>
  <si>
    <t>mount</t>
  </si>
  <si>
    <t>TOTAL ALL REQUISITION ITEMS (USD):</t>
  </si>
  <si>
    <t>Executive Procurement Scenarios</t>
  </si>
  <si>
    <t>Coverage &amp; Technical Scope Included</t>
  </si>
  <si>
    <t>Min Budget (USD)</t>
  </si>
  <si>
    <t>Max Budget (USD)</t>
  </si>
  <si>
    <t>Base Mandatory Capex (Core System)</t>
  </si>
  <si>
    <t>Turnkey Edge PC + 48-Port PoE+ Switch + Rackmount Patching &amp; Cabling</t>
  </si>
  <si>
    <t>Edge AI Appliance PC Alone</t>
  </si>
  <si>
    <t>Complete turnkey Core i5 + RX 9060 XT 16GB + DDR5 + 512GB SSD + Dual NIC</t>
  </si>
  <si>
    <t>Infrastructure Upgrade Option</t>
  </si>
  <si>
    <t>Commercial 2.5G Router + 1500VA UPS + 9U/12U Cabinet + Bulk Cat6 Cable</t>
  </si>
  <si>
    <t>Full Turnkey Deployment (Everything + 32 New Cameras)</t>
  </si>
  <si>
    <t>Mandatory System + All Infrastructure Options + 32 New Dahua IP Cameras</t>
  </si>
  <si>
    <t>32-Channel Hardware Sizing &amp; Capacity Verification</t>
  </si>
  <si>
    <t>Mathematical verification of GPU VRAM, Host RAM, Network Ingress, and NAS Storage</t>
  </si>
  <si>
    <t>1. Dedicated GPU VRAM Allocation Model (16GB GDDR6 Target)</t>
  </si>
  <si>
    <t>Workload Component</t>
  </si>
  <si>
    <t>Allocation (GB)</t>
  </si>
  <si>
    <t>Memory Target</t>
  </si>
  <si>
    <t>Operational Function</t>
  </si>
  <si>
    <t>Video Decoding Buffers (AMD VCN)</t>
  </si>
  <si>
    <t>0.90 – 1.10 GB</t>
  </si>
  <si>
    <t>VCN / Surface Pool</t>
  </si>
  <si>
    <t>Decoded Picture Buffer (DPB) for 32 reference streams</t>
  </si>
  <si>
    <t>Tensor Staging &amp; Pre-processing</t>
  </si>
  <si>
    <t>0.80 – 1.00 GB</t>
  </si>
  <si>
    <t>VRAM Staging</t>
  </si>
  <si>
    <t>NV12 to RGB planar conversion, 640x640 batch queues</t>
  </si>
  <si>
    <t>AI Models (YOLOv8 + Pose + ReID)</t>
  </si>
  <si>
    <t>2.75 – 3.00 GB</t>
  </si>
  <si>
    <t>ROCm / ONNX Weights</t>
  </si>
  <si>
    <t>YOLOv8s (0.6GB), Pose (0.85GB), ReID (0.95GB), Demo (0.35GB)</t>
  </si>
  <si>
    <t>Driver Context &amp; Cache</t>
  </si>
  <si>
    <t>2.10 – 2.40 GB</t>
  </si>
  <si>
    <t>Kernel / ROCm Cache</t>
  </si>
  <si>
    <t>ROCm driver context, MIOpen/GEMM kernel algorithm cache</t>
  </si>
  <si>
    <t>Local Market LLM (Ollama 8B)</t>
  </si>
  <si>
    <t>5.20 – 5.80 GB</t>
  </si>
  <si>
    <t>Weights &amp; KV Cache</t>
  </si>
  <si>
    <t>4-bit quantized weights + 4K token KV cache context</t>
  </si>
  <si>
    <t>Dynamic Headroom &amp; Burst Buffer</t>
  </si>
  <si>
    <t>2.70 – 3.25 GB</t>
  </si>
  <si>
    <t>Free VRAM Headroom</t>
  </si>
  <si>
    <t>Prevents Out-Of-Memory (OOM) faults during customer rush</t>
  </si>
  <si>
    <t>TOTAL COMBINED VRAM</t>
  </si>
  <si>
    <t>14.45 / 16.0 GB</t>
  </si>
  <si>
    <t>Fits Cleanly</t>
  </si>
  <si>
    <t>Leaves ~1.5 GB to 3.0 GB safety margin</t>
  </si>
  <si>
    <t>2. Network Ingress &amp; NAS Retention Math</t>
  </si>
  <si>
    <t>Metric Parameter</t>
  </si>
  <si>
    <t>Calculated Value</t>
  </si>
  <si>
    <t>Network Interface</t>
  </si>
  <si>
    <t>Operational Impact</t>
  </si>
  <si>
    <t>Sub-Streams (720p @ H.265 / 2.0 Mbps)</t>
  </si>
  <si>
    <t>64.0 Mbps (~8.0 MB/s)</t>
  </si>
  <si>
    <t>AI Vision Ingress</t>
  </si>
  <si>
    <t>Decimated to 3 FPS for continuous neural inference</t>
  </si>
  <si>
    <t>Main-Streams (1080p @ H.265 / 6.0 Mbps)</t>
  </si>
  <si>
    <t>192.0 Mbps (~24.0 MB/s)</t>
  </si>
  <si>
    <t>24/7 DVR Loop</t>
  </si>
  <si>
    <t>Streamed continuously to existing supermarket NAS</t>
  </si>
  <si>
    <t>Total Continuous Network Ingress</t>
  </si>
  <si>
    <t>256.0 Mbps (~32.0 MB/s)</t>
  </si>
  <si>
    <t>2.5 GbE NIC Port</t>
  </si>
  <si>
    <t>Only ~10.2% wire capacity on 2.5 GbE, zero dropped frames</t>
  </si>
  <si>
    <t>Continuous Write to NAS Server</t>
  </si>
  <si>
    <t>24.0 MB/s (86.4 GB/hr)</t>
  </si>
  <si>
    <t>1 GbE or 2.5 GbE Link</t>
  </si>
  <si>
    <t>21% load on 1 GbE port; 2.07 TB/day archive rate</t>
  </si>
  <si>
    <t>7-Day Video Retention on NAS</t>
  </si>
  <si>
    <t>~14.5 TB RAID Storage</t>
  </si>
  <si>
    <t>NAS Storage Pool</t>
  </si>
  <si>
    <t>Preserves full 32-camera 1080p audit trail for 1 week</t>
  </si>
  <si>
    <t>14-Day Video Retention on NAS</t>
  </si>
  <si>
    <t>~29.0 TB RAID Storage</t>
  </si>
  <si>
    <t>Preserves full 32-camera 1080p audit trail for 2 weeks</t>
  </si>
  <si>
    <t>30-Day Video Retention on NAS</t>
  </si>
  <si>
    <t>~62.0 TB RAID Storage</t>
  </si>
  <si>
    <t>Full monthly compliance archive</t>
  </si>
</sst>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sz val="11"/>
      <color theme="1"/>
      <name val="Calibri"/>
      <family val="2"/>
      <scheme val="minor"/>
    </font>
    <font>
      <b/>
      <sz val="16"/>
      <color rgb="FF1E3A8A"/>
      <name val="Segoe UI"/>
      <family val="2"/>
    </font>
    <font>
      <i/>
      <sz val="9.5"/>
      <color rgb="FF0369A1"/>
      <name val="Segoe UI"/>
      <family val="2"/>
    </font>
    <font>
      <b/>
      <sz val="11"/>
      <color rgb="FFFFFFFF"/>
      <name val="Segoe UI"/>
      <family val="2"/>
    </font>
    <font>
      <b/>
      <sz val="10"/>
      <color rgb="FFFFFFFF"/>
      <name val="Segoe UI"/>
      <family val="2"/>
    </font>
    <font>
      <b/>
      <sz val="9.5"/>
      <color rgb="FF0F172A"/>
      <name val="Segoe UI"/>
      <family val="2"/>
    </font>
    <font>
      <sz val="9.5"/>
      <color rgb="FF334155"/>
      <name val="Segoe UI"/>
      <family val="2"/>
    </font>
    <font>
      <b/>
      <sz val="9"/>
      <color rgb="FF475569"/>
      <name val="Segoe UI"/>
      <family val="2"/>
    </font>
    <font>
      <sz val="9"/>
      <color rgb="FF0F172A"/>
      <name val="Segoe UI"/>
      <family val="2"/>
    </font>
    <font>
      <b/>
      <sz val="9"/>
      <color rgb="FF166534"/>
      <name val="Segoe UI"/>
      <family val="2"/>
    </font>
    <font>
      <sz val="9.5"/>
      <color theme="1"/>
      <name val="Segoe UI"/>
      <family val="2"/>
    </font>
    <font>
      <b/>
      <sz val="9"/>
      <color rgb="FF9A3412"/>
      <name val="Segoe UI"/>
      <family val="2"/>
    </font>
    <font>
      <b/>
      <sz val="9"/>
      <color rgb="FF0F766E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9A341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1E3A8A"/>
        <bgColor indexed="64"/>
      </patternFill>
    </fill>
  </fills>
  <borders count="8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FED7AA"/>
      </left>
      <right style="thin">
        <color rgb="FFFED7AA"/>
      </right>
      <top style="thin">
        <color rgb="FFFED7AA"/>
      </top>
      <bottom style="thin">
        <color rgb="FFFED7AA"/>
      </bottom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  <border>
      <left/>
      <right/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right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164" fontId="10" fillId="4" borderId="2" xfId="0" applyNumberFormat="1" applyFont="1" applyFill="1" applyBorder="1" applyAlignment="1">
      <alignment horizontal="right" vertical="center"/>
    </xf>
    <xf numFmtId="0" fontId="11" fillId="8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0" fontId="3" fillId="10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4"/>
  <sheetViews>
    <sheetView tabSelected="1" workbookViewId="0"/>
  </sheetViews>
  <sheetFormatPr defaultRowHeight="15"/>
  <cols>
    <col min="1" max="1" width="28.7109375" customWidth="1"/>
    <col min="2" max="2" width="78.7109375" customWidth="1"/>
    <col min="3" max="3" width="14.7109375" customWidth="1"/>
  </cols>
  <sheetData>
    <row r="1" spans="1:3" ht="24" customHeight="1">
      <c r="A1" s="1" t="s">
        <v>0</v>
      </c>
    </row>
    <row r="2" spans="1:3" ht="18" customHeight="1">
      <c r="A2" s="2" t="s">
        <v>1</v>
      </c>
    </row>
    <row r="3" spans="1:3" ht="8" customHeight="1"/>
    <row r="4" spans="1:3" ht="22" customHeight="1">
      <c r="A4" s="3" t="s">
        <v>2</v>
      </c>
      <c r="B4" s="3"/>
      <c r="C4" s="3"/>
    </row>
    <row r="5" spans="1:3" ht="20" customHeight="1">
      <c r="A5" s="4" t="s">
        <v>3</v>
      </c>
      <c r="B5" s="4" t="s">
        <v>4</v>
      </c>
      <c r="C5" s="5" t="s">
        <v>5</v>
      </c>
    </row>
    <row r="6" spans="1:3" ht="22" customHeight="1">
      <c r="A6" s="6" t="s">
        <v>6</v>
      </c>
      <c r="B6" s="7" t="s">
        <v>7</v>
      </c>
      <c r="C6" s="8" t="s">
        <v>8</v>
      </c>
    </row>
    <row r="7" spans="1:3" ht="22" customHeight="1">
      <c r="A7" s="9" t="s">
        <v>9</v>
      </c>
      <c r="B7" s="10" t="s">
        <v>10</v>
      </c>
      <c r="C7" s="11" t="s">
        <v>8</v>
      </c>
    </row>
    <row r="8" spans="1:3" ht="22" customHeight="1">
      <c r="A8" s="6" t="s">
        <v>11</v>
      </c>
      <c r="B8" s="7" t="s">
        <v>12</v>
      </c>
      <c r="C8" s="8" t="s">
        <v>8</v>
      </c>
    </row>
    <row r="9" spans="1:3" ht="22" customHeight="1">
      <c r="A9" s="9" t="s">
        <v>13</v>
      </c>
      <c r="B9" s="10" t="s">
        <v>14</v>
      </c>
      <c r="C9" s="11" t="s">
        <v>8</v>
      </c>
    </row>
    <row r="10" spans="1:3" ht="22" customHeight="1">
      <c r="A10" s="6" t="s">
        <v>15</v>
      </c>
      <c r="B10" s="7" t="s">
        <v>16</v>
      </c>
      <c r="C10" s="8" t="s">
        <v>8</v>
      </c>
    </row>
    <row r="11" spans="1:3" ht="22" customHeight="1">
      <c r="A11" s="9" t="s">
        <v>17</v>
      </c>
      <c r="B11" s="10" t="s">
        <v>18</v>
      </c>
      <c r="C11" s="11" t="s">
        <v>8</v>
      </c>
    </row>
    <row r="12" spans="1:3" ht="22" customHeight="1">
      <c r="A12" s="6" t="s">
        <v>19</v>
      </c>
      <c r="B12" s="7" t="s">
        <v>20</v>
      </c>
      <c r="C12" s="8" t="s">
        <v>8</v>
      </c>
    </row>
    <row r="13" spans="1:3" ht="22" customHeight="1">
      <c r="A13" s="9" t="s">
        <v>21</v>
      </c>
      <c r="B13" s="10" t="s">
        <v>22</v>
      </c>
      <c r="C13" s="11" t="s">
        <v>8</v>
      </c>
    </row>
    <row r="14" spans="1:3" ht="22" customHeight="1">
      <c r="A14" s="6" t="s">
        <v>23</v>
      </c>
      <c r="B14" s="7" t="s">
        <v>24</v>
      </c>
      <c r="C14" s="8" t="s">
        <v>8</v>
      </c>
    </row>
    <row r="15" spans="1:3" ht="22" customHeight="1">
      <c r="A15" s="9" t="s">
        <v>25</v>
      </c>
      <c r="B15" s="10" t="s">
        <v>26</v>
      </c>
      <c r="C15" s="11" t="s">
        <v>8</v>
      </c>
    </row>
    <row r="16" spans="1:3" ht="22" customHeight="1">
      <c r="A16" s="6" t="s">
        <v>27</v>
      </c>
      <c r="B16" s="7" t="s">
        <v>28</v>
      </c>
      <c r="C16" s="8" t="s">
        <v>8</v>
      </c>
    </row>
    <row r="17" spans="1:3" ht="22" customHeight="1">
      <c r="A17" s="9" t="s">
        <v>29</v>
      </c>
      <c r="B17" s="10" t="s">
        <v>30</v>
      </c>
      <c r="C17" s="11" t="s">
        <v>8</v>
      </c>
    </row>
    <row r="18" spans="1:3" ht="22" customHeight="1">
      <c r="A18" s="6" t="s">
        <v>31</v>
      </c>
      <c r="B18" s="7" t="s">
        <v>32</v>
      </c>
      <c r="C18" s="8" t="s">
        <v>33</v>
      </c>
    </row>
    <row r="19" spans="1:3" ht="22" customHeight="1">
      <c r="A19" s="9" t="s">
        <v>34</v>
      </c>
      <c r="B19" s="10" t="s">
        <v>35</v>
      </c>
      <c r="C19" s="11" t="s">
        <v>36</v>
      </c>
    </row>
    <row r="20" spans="1:3" ht="22" customHeight="1">
      <c r="A20" s="6" t="s">
        <v>37</v>
      </c>
      <c r="B20" s="7" t="s">
        <v>38</v>
      </c>
      <c r="C20" s="8" t="s">
        <v>39</v>
      </c>
    </row>
    <row r="21" spans="1:3" ht="10" customHeight="1"/>
    <row r="22" spans="1:3" ht="22" customHeight="1">
      <c r="A22" s="12" t="s">
        <v>40</v>
      </c>
      <c r="B22" s="12"/>
      <c r="C22" s="12"/>
    </row>
    <row r="23" spans="1:3" ht="20" customHeight="1">
      <c r="A23" s="4" t="s">
        <v>3</v>
      </c>
      <c r="B23" s="4" t="s">
        <v>4</v>
      </c>
      <c r="C23" s="5" t="s">
        <v>5</v>
      </c>
    </row>
    <row r="24" spans="1:3" ht="22" customHeight="1">
      <c r="A24" s="6" t="s">
        <v>41</v>
      </c>
      <c r="B24" s="7" t="s">
        <v>42</v>
      </c>
      <c r="C24" s="8" t="s">
        <v>8</v>
      </c>
    </row>
    <row r="25" spans="1:3" ht="22" customHeight="1">
      <c r="A25" s="9" t="s">
        <v>43</v>
      </c>
      <c r="B25" s="10" t="s">
        <v>44</v>
      </c>
      <c r="C25" s="11" t="s">
        <v>8</v>
      </c>
    </row>
    <row r="26" spans="1:3" ht="22" customHeight="1">
      <c r="A26" s="6" t="s">
        <v>45</v>
      </c>
      <c r="B26" s="7" t="s">
        <v>46</v>
      </c>
      <c r="C26" s="8" t="s">
        <v>47</v>
      </c>
    </row>
    <row r="27" spans="1:3" ht="22" customHeight="1">
      <c r="A27" s="9" t="s">
        <v>48</v>
      </c>
      <c r="B27" s="10" t="s">
        <v>49</v>
      </c>
      <c r="C27" s="11" t="s">
        <v>8</v>
      </c>
    </row>
    <row r="28" spans="1:3" ht="22" customHeight="1">
      <c r="A28" s="6" t="s">
        <v>50</v>
      </c>
      <c r="B28" s="7" t="s">
        <v>51</v>
      </c>
      <c r="C28" s="8" t="s">
        <v>8</v>
      </c>
    </row>
    <row r="29" spans="1:3" ht="22" customHeight="1">
      <c r="A29" s="9" t="s">
        <v>52</v>
      </c>
      <c r="B29" s="10" t="s">
        <v>53</v>
      </c>
      <c r="C29" s="11" t="s">
        <v>54</v>
      </c>
    </row>
    <row r="30" spans="1:3" ht="22" customHeight="1">
      <c r="A30" s="6" t="s">
        <v>55</v>
      </c>
      <c r="B30" s="7" t="s">
        <v>56</v>
      </c>
      <c r="C30" s="8" t="s">
        <v>8</v>
      </c>
    </row>
    <row r="31" spans="1:3" ht="22" customHeight="1">
      <c r="A31" s="9" t="s">
        <v>57</v>
      </c>
      <c r="B31" s="10" t="s">
        <v>58</v>
      </c>
      <c r="C31" s="11" t="s">
        <v>8</v>
      </c>
    </row>
    <row r="33" spans="1:3" ht="18" customHeight="1">
      <c r="A33" s="13" t="s">
        <v>59</v>
      </c>
      <c r="B33" s="14" t="s">
        <v>60</v>
      </c>
      <c r="C33" s="13" t="s">
        <v>61</v>
      </c>
    </row>
    <row r="34" spans="1:3" ht="18" customHeight="1">
      <c r="A34" s="13" t="s">
        <v>62</v>
      </c>
      <c r="B34" s="14" t="s">
        <v>63</v>
      </c>
      <c r="C34" s="15" t="s">
        <v>64</v>
      </c>
    </row>
  </sheetData>
  <mergeCells count="2">
    <mergeCell ref="A4:C4"/>
    <mergeCell ref="A22:C22"/>
  </mergeCells>
  <printOptions gridLines="1"/>
  <pageMargins left="0.5" right="0.5" top="0.6" bottom="0.6" header="0.3" footer="0.3"/>
  <pageSetup paperSize="9" orientation="portrait"/>
  <headerFooter>
    <oddHeader>&amp;R&amp;8IGA Supermarket — CCTV Bill of Materials (BOM)</oddHeader>
    <oddFooter>&amp;C&amp;8Pearcedale IGA | 32-Channel Edge AI Video Analytics | Single-Page Hardware Requisition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5"/>
  <sheetViews>
    <sheetView workbookViewId="0"/>
  </sheetViews>
  <sheetFormatPr defaultRowHeight="15"/>
  <cols>
    <col min="1" max="1" width="5.7109375" customWidth="1"/>
    <col min="2" max="2" width="12.7109375" customWidth="1"/>
    <col min="3" max="3" width="24.7109375" customWidth="1"/>
    <col min="4" max="4" width="25.7109375" customWidth="1"/>
    <col min="5" max="5" width="44.7109375" customWidth="1"/>
    <col min="6" max="6" width="7.7109375" customWidth="1"/>
    <col min="7" max="7" width="8.7109375" customWidth="1"/>
    <col min="8" max="9" width="14.7109375" customWidth="1"/>
    <col min="10" max="11" width="15.7109375" customWidth="1"/>
  </cols>
  <sheetData>
    <row r="1" spans="1:11" ht="24" customHeight="1">
      <c r="A1" s="1" t="s">
        <v>65</v>
      </c>
    </row>
    <row r="2" spans="1:11" ht="18" customHeight="1">
      <c r="A2" s="2" t="s">
        <v>66</v>
      </c>
    </row>
    <row r="3" spans="1:11" ht="8" customHeight="1"/>
    <row r="4" spans="1:11" ht="22" customHeight="1">
      <c r="A4" s="16" t="s">
        <v>67</v>
      </c>
      <c r="B4" s="16" t="s">
        <v>68</v>
      </c>
      <c r="C4" s="4" t="s">
        <v>69</v>
      </c>
      <c r="D4" s="4" t="s">
        <v>3</v>
      </c>
      <c r="E4" s="4" t="s">
        <v>70</v>
      </c>
      <c r="F4" s="16" t="s">
        <v>5</v>
      </c>
      <c r="G4" s="16" t="s">
        <v>71</v>
      </c>
      <c r="H4" s="5" t="s">
        <v>72</v>
      </c>
      <c r="I4" s="5" t="s">
        <v>73</v>
      </c>
      <c r="J4" s="5" t="s">
        <v>74</v>
      </c>
      <c r="K4" s="5" t="s">
        <v>75</v>
      </c>
    </row>
    <row r="5" spans="1:11" ht="22" customHeight="1">
      <c r="A5" s="17">
        <v>1</v>
      </c>
      <c r="B5" s="15" t="s">
        <v>76</v>
      </c>
      <c r="C5" s="18" t="s">
        <v>77</v>
      </c>
      <c r="D5" s="6" t="s">
        <v>6</v>
      </c>
      <c r="E5" s="7" t="s">
        <v>78</v>
      </c>
      <c r="F5" s="17">
        <v>1</v>
      </c>
      <c r="G5" s="17" t="s">
        <v>79</v>
      </c>
      <c r="H5" s="19">
        <v>330</v>
      </c>
      <c r="I5" s="19">
        <v>360</v>
      </c>
      <c r="J5" s="19">
        <f>F5*H5</f>
        <v>330.0</v>
      </c>
      <c r="K5" s="19">
        <f>F5*I5</f>
        <v>360.0</v>
      </c>
    </row>
    <row r="6" spans="1:11" ht="22" customHeight="1">
      <c r="A6" s="20">
        <v>2</v>
      </c>
      <c r="B6" s="15" t="s">
        <v>76</v>
      </c>
      <c r="C6" s="21" t="s">
        <v>77</v>
      </c>
      <c r="D6" s="9" t="s">
        <v>9</v>
      </c>
      <c r="E6" s="10" t="s">
        <v>80</v>
      </c>
      <c r="F6" s="20">
        <v>1</v>
      </c>
      <c r="G6" s="20" t="s">
        <v>79</v>
      </c>
      <c r="H6" s="22">
        <v>165</v>
      </c>
      <c r="I6" s="22">
        <v>190</v>
      </c>
      <c r="J6" s="22">
        <f>F6*H6</f>
        <v>165.0</v>
      </c>
      <c r="K6" s="22">
        <f>F6*I6</f>
        <v>190.0</v>
      </c>
    </row>
    <row r="7" spans="1:11" ht="22" customHeight="1">
      <c r="A7" s="17">
        <v>3</v>
      </c>
      <c r="B7" s="15" t="s">
        <v>76</v>
      </c>
      <c r="C7" s="18" t="s">
        <v>77</v>
      </c>
      <c r="D7" s="6" t="s">
        <v>11</v>
      </c>
      <c r="E7" s="7" t="s">
        <v>12</v>
      </c>
      <c r="F7" s="17">
        <v>1</v>
      </c>
      <c r="G7" s="17" t="s">
        <v>79</v>
      </c>
      <c r="H7" s="19">
        <v>110</v>
      </c>
      <c r="I7" s="19">
        <v>130</v>
      </c>
      <c r="J7" s="19">
        <f>F7*H7</f>
        <v>110.0</v>
      </c>
      <c r="K7" s="19">
        <f>F7*I7</f>
        <v>130.0</v>
      </c>
    </row>
    <row r="8" spans="1:11" ht="22" customHeight="1">
      <c r="A8" s="20">
        <v>4</v>
      </c>
      <c r="B8" s="15" t="s">
        <v>76</v>
      </c>
      <c r="C8" s="21" t="s">
        <v>77</v>
      </c>
      <c r="D8" s="9" t="s">
        <v>13</v>
      </c>
      <c r="E8" s="10" t="s">
        <v>14</v>
      </c>
      <c r="F8" s="20">
        <v>1</v>
      </c>
      <c r="G8" s="20" t="s">
        <v>81</v>
      </c>
      <c r="H8" s="22">
        <v>55</v>
      </c>
      <c r="I8" s="22">
        <v>65</v>
      </c>
      <c r="J8" s="22">
        <f>F8*H8</f>
        <v>55.0</v>
      </c>
      <c r="K8" s="22">
        <f>F8*I8</f>
        <v>65.0</v>
      </c>
    </row>
    <row r="9" spans="1:11" ht="22" customHeight="1">
      <c r="A9" s="17">
        <v>5</v>
      </c>
      <c r="B9" s="15" t="s">
        <v>76</v>
      </c>
      <c r="C9" s="18" t="s">
        <v>77</v>
      </c>
      <c r="D9" s="6" t="s">
        <v>15</v>
      </c>
      <c r="E9" s="7" t="s">
        <v>82</v>
      </c>
      <c r="F9" s="17">
        <v>1</v>
      </c>
      <c r="G9" s="17" t="s">
        <v>79</v>
      </c>
      <c r="H9" s="19">
        <v>40</v>
      </c>
      <c r="I9" s="19">
        <v>48</v>
      </c>
      <c r="J9" s="19">
        <f>F9*H9</f>
        <v>40.0</v>
      </c>
      <c r="K9" s="19">
        <f>F9*I9</f>
        <v>48.0</v>
      </c>
    </row>
    <row r="10" spans="1:11" ht="22" customHeight="1">
      <c r="A10" s="20">
        <v>6</v>
      </c>
      <c r="B10" s="15" t="s">
        <v>76</v>
      </c>
      <c r="C10" s="21" t="s">
        <v>77</v>
      </c>
      <c r="D10" s="9" t="s">
        <v>17</v>
      </c>
      <c r="E10" s="10" t="s">
        <v>18</v>
      </c>
      <c r="F10" s="20">
        <v>1</v>
      </c>
      <c r="G10" s="20" t="s">
        <v>79</v>
      </c>
      <c r="H10" s="22">
        <v>55</v>
      </c>
      <c r="I10" s="22">
        <v>65</v>
      </c>
      <c r="J10" s="22">
        <f>F10*H10</f>
        <v>55.0</v>
      </c>
      <c r="K10" s="22">
        <f>F10*I10</f>
        <v>65.0</v>
      </c>
    </row>
    <row r="11" spans="1:11" ht="22" customHeight="1">
      <c r="A11" s="17">
        <v>7</v>
      </c>
      <c r="B11" s="15" t="s">
        <v>76</v>
      </c>
      <c r="C11" s="18" t="s">
        <v>77</v>
      </c>
      <c r="D11" s="6" t="s">
        <v>19</v>
      </c>
      <c r="E11" s="7" t="s">
        <v>83</v>
      </c>
      <c r="F11" s="17">
        <v>1</v>
      </c>
      <c r="G11" s="17" t="s">
        <v>79</v>
      </c>
      <c r="H11" s="19">
        <v>45</v>
      </c>
      <c r="I11" s="19">
        <v>55</v>
      </c>
      <c r="J11" s="19">
        <f>F11*H11</f>
        <v>45.0</v>
      </c>
      <c r="K11" s="19">
        <f>F11*I11</f>
        <v>55.0</v>
      </c>
    </row>
    <row r="12" spans="1:11" ht="22" customHeight="1">
      <c r="A12" s="20">
        <v>8</v>
      </c>
      <c r="B12" s="15" t="s">
        <v>76</v>
      </c>
      <c r="C12" s="21" t="s">
        <v>77</v>
      </c>
      <c r="D12" s="9" t="s">
        <v>21</v>
      </c>
      <c r="E12" s="10" t="s">
        <v>84</v>
      </c>
      <c r="F12" s="20">
        <v>1</v>
      </c>
      <c r="G12" s="20" t="s">
        <v>79</v>
      </c>
      <c r="H12" s="22">
        <v>18</v>
      </c>
      <c r="I12" s="22">
        <v>20</v>
      </c>
      <c r="J12" s="22">
        <f>F12*H12</f>
        <v>18.0</v>
      </c>
      <c r="K12" s="22">
        <f>F12*I12</f>
        <v>20.0</v>
      </c>
    </row>
    <row r="13" spans="1:11" ht="22" customHeight="1">
      <c r="A13" s="17">
        <v>9</v>
      </c>
      <c r="B13" s="15" t="s">
        <v>76</v>
      </c>
      <c r="C13" s="18" t="s">
        <v>77</v>
      </c>
      <c r="D13" s="6" t="s">
        <v>23</v>
      </c>
      <c r="E13" s="7" t="s">
        <v>85</v>
      </c>
      <c r="F13" s="17">
        <v>1</v>
      </c>
      <c r="G13" s="17" t="s">
        <v>79</v>
      </c>
      <c r="H13" s="19">
        <v>15</v>
      </c>
      <c r="I13" s="19">
        <v>20</v>
      </c>
      <c r="J13" s="19">
        <f>F13*H13</f>
        <v>15.0</v>
      </c>
      <c r="K13" s="19">
        <f>F13*I13</f>
        <v>20.0</v>
      </c>
    </row>
    <row r="14" spans="1:11" ht="22" customHeight="1">
      <c r="A14" s="20">
        <v>10</v>
      </c>
      <c r="B14" s="15" t="s">
        <v>76</v>
      </c>
      <c r="C14" s="21" t="s">
        <v>86</v>
      </c>
      <c r="D14" s="9" t="s">
        <v>25</v>
      </c>
      <c r="E14" s="10" t="s">
        <v>87</v>
      </c>
      <c r="F14" s="20">
        <v>1</v>
      </c>
      <c r="G14" s="20" t="s">
        <v>79</v>
      </c>
      <c r="H14" s="22">
        <v>480</v>
      </c>
      <c r="I14" s="22">
        <v>520</v>
      </c>
      <c r="J14" s="22">
        <f>F14*H14</f>
        <v>480.0</v>
      </c>
      <c r="K14" s="22">
        <f>F14*I14</f>
        <v>520.0</v>
      </c>
    </row>
    <row r="15" spans="1:11" ht="22" customHeight="1">
      <c r="A15" s="17">
        <v>11</v>
      </c>
      <c r="B15" s="23" t="s">
        <v>88</v>
      </c>
      <c r="C15" s="18" t="s">
        <v>86</v>
      </c>
      <c r="D15" s="6" t="s">
        <v>41</v>
      </c>
      <c r="E15" s="7" t="s">
        <v>89</v>
      </c>
      <c r="F15" s="17">
        <v>1</v>
      </c>
      <c r="G15" s="17" t="s">
        <v>79</v>
      </c>
      <c r="H15" s="19">
        <v>165</v>
      </c>
      <c r="I15" s="19">
        <v>190</v>
      </c>
      <c r="J15" s="19">
        <f>F15*H15</f>
        <v>165.0</v>
      </c>
      <c r="K15" s="19">
        <f>F15*I15</f>
        <v>190.0</v>
      </c>
    </row>
    <row r="16" spans="1:11" ht="22" customHeight="1">
      <c r="A16" s="20">
        <v>12</v>
      </c>
      <c r="B16" s="23" t="s">
        <v>88</v>
      </c>
      <c r="C16" s="21" t="s">
        <v>86</v>
      </c>
      <c r="D16" s="9" t="s">
        <v>57</v>
      </c>
      <c r="E16" s="10" t="s">
        <v>90</v>
      </c>
      <c r="F16" s="20">
        <v>1</v>
      </c>
      <c r="G16" s="20" t="s">
        <v>79</v>
      </c>
      <c r="H16" s="22">
        <v>45</v>
      </c>
      <c r="I16" s="22">
        <v>70</v>
      </c>
      <c r="J16" s="22">
        <f>F16*H16</f>
        <v>45.0</v>
      </c>
      <c r="K16" s="22">
        <f>F16*I16</f>
        <v>70.0</v>
      </c>
    </row>
    <row r="17" spans="1:11" ht="22" customHeight="1">
      <c r="A17" s="17">
        <v>13</v>
      </c>
      <c r="B17" s="23" t="s">
        <v>88</v>
      </c>
      <c r="C17" s="18" t="s">
        <v>91</v>
      </c>
      <c r="D17" s="6" t="s">
        <v>92</v>
      </c>
      <c r="E17" s="7" t="s">
        <v>93</v>
      </c>
      <c r="F17" s="17">
        <v>1</v>
      </c>
      <c r="G17" s="17" t="s">
        <v>79</v>
      </c>
      <c r="H17" s="19">
        <v>550</v>
      </c>
      <c r="I17" s="19">
        <v>620</v>
      </c>
      <c r="J17" s="19">
        <f>F17*H17</f>
        <v>550.0</v>
      </c>
      <c r="K17" s="19">
        <f>F17*I17</f>
        <v>620.0</v>
      </c>
    </row>
    <row r="18" spans="1:11" ht="22" customHeight="1">
      <c r="A18" s="20">
        <v>14</v>
      </c>
      <c r="B18" s="15" t="s">
        <v>76</v>
      </c>
      <c r="C18" s="21" t="s">
        <v>94</v>
      </c>
      <c r="D18" s="9" t="s">
        <v>27</v>
      </c>
      <c r="E18" s="10" t="s">
        <v>95</v>
      </c>
      <c r="F18" s="20">
        <v>1</v>
      </c>
      <c r="G18" s="20" t="s">
        <v>79</v>
      </c>
      <c r="H18" s="22">
        <v>35</v>
      </c>
      <c r="I18" s="22">
        <v>50</v>
      </c>
      <c r="J18" s="22">
        <f>F18*H18</f>
        <v>35.0</v>
      </c>
      <c r="K18" s="22">
        <f>F18*I18</f>
        <v>50.0</v>
      </c>
    </row>
    <row r="19" spans="1:11" ht="22" customHeight="1">
      <c r="A19" s="17">
        <v>15</v>
      </c>
      <c r="B19" s="15" t="s">
        <v>76</v>
      </c>
      <c r="C19" s="18" t="s">
        <v>94</v>
      </c>
      <c r="D19" s="6" t="s">
        <v>29</v>
      </c>
      <c r="E19" s="7" t="s">
        <v>96</v>
      </c>
      <c r="F19" s="17">
        <v>1</v>
      </c>
      <c r="G19" s="17" t="s">
        <v>79</v>
      </c>
      <c r="H19" s="19">
        <v>35</v>
      </c>
      <c r="I19" s="19">
        <v>45</v>
      </c>
      <c r="J19" s="19">
        <f>F19*H19</f>
        <v>35.0</v>
      </c>
      <c r="K19" s="19">
        <f>F19*I19</f>
        <v>45.0</v>
      </c>
    </row>
    <row r="20" spans="1:11" ht="22" customHeight="1">
      <c r="A20" s="20">
        <v>16</v>
      </c>
      <c r="B20" s="15" t="s">
        <v>76</v>
      </c>
      <c r="C20" s="21" t="s">
        <v>94</v>
      </c>
      <c r="D20" s="9" t="s">
        <v>31</v>
      </c>
      <c r="E20" s="10" t="s">
        <v>97</v>
      </c>
      <c r="F20" s="20">
        <v>1</v>
      </c>
      <c r="G20" s="20" t="s">
        <v>98</v>
      </c>
      <c r="H20" s="22">
        <v>28</v>
      </c>
      <c r="I20" s="22">
        <v>35</v>
      </c>
      <c r="J20" s="22">
        <f>F20*H20</f>
        <v>28.0</v>
      </c>
      <c r="K20" s="22">
        <f>F20*I20</f>
        <v>35.0</v>
      </c>
    </row>
    <row r="21" spans="1:11" ht="22" customHeight="1">
      <c r="A21" s="17">
        <v>17</v>
      </c>
      <c r="B21" s="15" t="s">
        <v>76</v>
      </c>
      <c r="C21" s="18" t="s">
        <v>94</v>
      </c>
      <c r="D21" s="6" t="s">
        <v>34</v>
      </c>
      <c r="E21" s="7" t="s">
        <v>99</v>
      </c>
      <c r="F21" s="17">
        <v>1</v>
      </c>
      <c r="G21" s="17" t="s">
        <v>98</v>
      </c>
      <c r="H21" s="19">
        <v>18</v>
      </c>
      <c r="I21" s="19">
        <v>22</v>
      </c>
      <c r="J21" s="19">
        <f>F21*H21</f>
        <v>18.0</v>
      </c>
      <c r="K21" s="19">
        <f>F21*I21</f>
        <v>22.0</v>
      </c>
    </row>
    <row r="22" spans="1:11" ht="22" customHeight="1">
      <c r="A22" s="20">
        <v>18</v>
      </c>
      <c r="B22" s="23" t="s">
        <v>88</v>
      </c>
      <c r="C22" s="21" t="s">
        <v>94</v>
      </c>
      <c r="D22" s="9" t="s">
        <v>50</v>
      </c>
      <c r="E22" s="10" t="s">
        <v>100</v>
      </c>
      <c r="F22" s="20">
        <v>1</v>
      </c>
      <c r="G22" s="20" t="s">
        <v>79</v>
      </c>
      <c r="H22" s="22">
        <v>140</v>
      </c>
      <c r="I22" s="22">
        <v>180</v>
      </c>
      <c r="J22" s="22">
        <f>F22*H22</f>
        <v>140.0</v>
      </c>
      <c r="K22" s="22">
        <f>F22*I22</f>
        <v>180.0</v>
      </c>
    </row>
    <row r="23" spans="1:11" ht="22" customHeight="1">
      <c r="A23" s="17">
        <v>19</v>
      </c>
      <c r="B23" s="23" t="s">
        <v>88</v>
      </c>
      <c r="C23" s="18" t="s">
        <v>94</v>
      </c>
      <c r="D23" s="6" t="s">
        <v>52</v>
      </c>
      <c r="E23" s="7" t="s">
        <v>101</v>
      </c>
      <c r="F23" s="17">
        <v>2</v>
      </c>
      <c r="G23" s="17" t="s">
        <v>102</v>
      </c>
      <c r="H23" s="19">
        <v>110</v>
      </c>
      <c r="I23" s="19">
        <v>140</v>
      </c>
      <c r="J23" s="19">
        <f>F23*H23</f>
        <v>220.0</v>
      </c>
      <c r="K23" s="19">
        <f>F23*I23</f>
        <v>280.0</v>
      </c>
    </row>
    <row r="24" spans="1:11" ht="22" customHeight="1">
      <c r="A24" s="20">
        <v>20</v>
      </c>
      <c r="B24" s="23" t="s">
        <v>88</v>
      </c>
      <c r="C24" s="21" t="s">
        <v>94</v>
      </c>
      <c r="D24" s="9" t="s">
        <v>55</v>
      </c>
      <c r="E24" s="10" t="s">
        <v>103</v>
      </c>
      <c r="F24" s="20">
        <v>1</v>
      </c>
      <c r="G24" s="20" t="s">
        <v>79</v>
      </c>
      <c r="H24" s="22">
        <v>15</v>
      </c>
      <c r="I24" s="22">
        <v>20</v>
      </c>
      <c r="J24" s="22">
        <f>F24*H24</f>
        <v>15.0</v>
      </c>
      <c r="K24" s="22">
        <f>F24*I24</f>
        <v>20.0</v>
      </c>
    </row>
    <row r="25" spans="1:11" ht="22" customHeight="1">
      <c r="A25" s="17">
        <v>21</v>
      </c>
      <c r="B25" s="23" t="s">
        <v>88</v>
      </c>
      <c r="C25" s="18" t="s">
        <v>104</v>
      </c>
      <c r="D25" s="6" t="s">
        <v>105</v>
      </c>
      <c r="E25" s="7" t="s">
        <v>106</v>
      </c>
      <c r="F25" s="17">
        <v>32</v>
      </c>
      <c r="G25" s="17" t="s">
        <v>79</v>
      </c>
      <c r="H25" s="19">
        <v>75.625</v>
      </c>
      <c r="I25" s="19">
        <v>85.625</v>
      </c>
      <c r="J25" s="19">
        <f>F25*H25</f>
        <v>2420.0</v>
      </c>
      <c r="K25" s="19">
        <f>F25*I25</f>
        <v>2740.0</v>
      </c>
    </row>
    <row r="26" spans="1:11" ht="22" customHeight="1">
      <c r="A26" s="20">
        <v>22</v>
      </c>
      <c r="B26" s="23" t="s">
        <v>88</v>
      </c>
      <c r="C26" s="21" t="s">
        <v>107</v>
      </c>
      <c r="D26" s="9" t="s">
        <v>48</v>
      </c>
      <c r="E26" s="10" t="s">
        <v>108</v>
      </c>
      <c r="F26" s="20">
        <v>1</v>
      </c>
      <c r="G26" s="20" t="s">
        <v>109</v>
      </c>
      <c r="H26" s="22">
        <v>35</v>
      </c>
      <c r="I26" s="22">
        <v>35</v>
      </c>
      <c r="J26" s="22">
        <f>F26*H26</f>
        <v>35.0</v>
      </c>
      <c r="K26" s="22">
        <f>F26*I26</f>
        <v>35.0</v>
      </c>
    </row>
    <row r="27" spans="1:11" ht="22" customHeight="1">
      <c r="A27" s="17">
        <v>23</v>
      </c>
      <c r="B27" s="24" t="s">
        <v>39</v>
      </c>
      <c r="C27" s="18" t="s">
        <v>110</v>
      </c>
      <c r="D27" s="6" t="s">
        <v>111</v>
      </c>
      <c r="E27" s="7" t="s">
        <v>112</v>
      </c>
      <c r="F27" s="17">
        <v>1</v>
      </c>
      <c r="G27" s="17" t="s">
        <v>113</v>
      </c>
      <c r="H27" s="19">
        <v>0</v>
      </c>
      <c r="I27" s="19">
        <v>0</v>
      </c>
      <c r="J27" s="19">
        <f>F27*H27</f>
        <v>0.0</v>
      </c>
      <c r="K27" s="19">
        <f>F27*I27</f>
        <v>0.0</v>
      </c>
    </row>
    <row r="28" spans="1:11" ht="24" customHeight="1">
      <c r="A28" s="25" t="s">
        <v>114</v>
      </c>
      <c r="B28" s="25"/>
      <c r="C28" s="25"/>
      <c r="D28" s="25"/>
      <c r="E28" s="25"/>
      <c r="F28" s="25"/>
      <c r="G28" s="25"/>
      <c r="H28" s="25"/>
      <c r="I28" s="25"/>
      <c r="J28" s="26">
        <f>SUM(J5:J27)</f>
        <v>5019.0</v>
      </c>
      <c r="K28" s="26">
        <f>SUM(K5:K27)</f>
        <v>5760.0</v>
      </c>
    </row>
    <row r="31" spans="1:11" ht="22" customHeight="1">
      <c r="B31" s="27" t="s">
        <v>115</v>
      </c>
      <c r="C31" s="27"/>
      <c r="D31" s="27"/>
      <c r="E31" s="27"/>
      <c r="F31" s="4" t="s">
        <v>116</v>
      </c>
      <c r="G31" s="4"/>
      <c r="H31" s="4"/>
      <c r="I31" s="4"/>
      <c r="J31" s="5" t="s">
        <v>117</v>
      </c>
      <c r="K31" s="5" t="s">
        <v>118</v>
      </c>
    </row>
    <row r="32" spans="1:11" ht="20" customHeight="1">
      <c r="B32" s="6" t="s">
        <v>119</v>
      </c>
      <c r="C32" s="6"/>
      <c r="D32" s="6"/>
      <c r="E32" s="6"/>
      <c r="F32" s="7" t="s">
        <v>120</v>
      </c>
      <c r="G32" s="7"/>
      <c r="H32" s="7"/>
      <c r="I32" s="7"/>
      <c r="J32" s="19">
        <f>SUMIFS(J5:J27, B5:B27, "Mandatory")</f>
        <v>1429.0</v>
      </c>
      <c r="K32" s="19">
        <f>SUMIFS(K5:K27, B5:B27, "Mandatory")</f>
        <v>1625.0</v>
      </c>
    </row>
    <row r="33" spans="2:11" ht="20" customHeight="1">
      <c r="B33" s="9" t="s">
        <v>121</v>
      </c>
      <c r="C33" s="9"/>
      <c r="D33" s="9"/>
      <c r="E33" s="9"/>
      <c r="F33" s="10" t="s">
        <v>122</v>
      </c>
      <c r="G33" s="10"/>
      <c r="H33" s="10"/>
      <c r="I33" s="10"/>
      <c r="J33" s="22">
        <f>SUMIFS(J5:J27, C5:C27, "1. Edge AI PC")</f>
        <v>833.0</v>
      </c>
      <c r="K33" s="22">
        <f>SUMIFS(K5:K27, C5:C27, "1. Edge AI PC")</f>
        <v>953.0</v>
      </c>
    </row>
    <row r="34" spans="2:11" ht="20" customHeight="1">
      <c r="B34" s="6" t="s">
        <v>123</v>
      </c>
      <c r="C34" s="6"/>
      <c r="D34" s="6"/>
      <c r="E34" s="6"/>
      <c r="F34" s="7" t="s">
        <v>124</v>
      </c>
      <c r="G34" s="7"/>
      <c r="H34" s="7"/>
      <c r="I34" s="7"/>
      <c r="J34" s="19">
        <f>SUMIFS(J5:J27, B5:B27, "Optional", C5:C27, "&lt;&gt;5. Surveillance Cameras")</f>
        <v>1170.0</v>
      </c>
      <c r="K34" s="19">
        <f>SUMIFS(K5:K27, B5:B27, "Optional", C5:C27, "&lt;&gt;5. Surveillance Cameras")</f>
        <v>1395.0</v>
      </c>
    </row>
    <row r="35" spans="2:11" ht="20" customHeight="1">
      <c r="B35" s="9" t="s">
        <v>125</v>
      </c>
      <c r="C35" s="9"/>
      <c r="D35" s="9"/>
      <c r="E35" s="9"/>
      <c r="F35" s="10" t="s">
        <v>126</v>
      </c>
      <c r="G35" s="10"/>
      <c r="H35" s="10"/>
      <c r="I35" s="10"/>
      <c r="J35" s="22">
        <f>J28</f>
        <v>5019.0</v>
      </c>
      <c r="K35" s="22">
        <f>K28</f>
        <v>5760.0</v>
      </c>
    </row>
  </sheetData>
  <mergeCells count="11">
    <mergeCell ref="A28:I28"/>
    <mergeCell ref="B31:E31"/>
    <mergeCell ref="F31:I31"/>
    <mergeCell ref="B32:E32"/>
    <mergeCell ref="F32:I32"/>
    <mergeCell ref="B33:E33"/>
    <mergeCell ref="F33:I33"/>
    <mergeCell ref="B34:E34"/>
    <mergeCell ref="F34:I34"/>
    <mergeCell ref="B35:E35"/>
    <mergeCell ref="F35:I35"/>
  </mergeCells>
  <printOptions gridLines="1"/>
  <pageMargins left="0.5" right="0.5" top="0.6" bottom="0.6" header="0.3" footer="0.3"/>
  <pageSetup paperSize="9" fitToHeight="0" orientation="landscape"/>
  <headerFooter>
    <oddHeader>&amp;R&amp;8IGA Supermarket — Capital Expenditure &amp; Pricing Analysis</oddHeader>
    <oddFooter>&amp;C&amp;8Pearcedale IGA | 32-Channel Edge AI Video Analytics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2"/>
  <sheetViews>
    <sheetView workbookViewId="0"/>
  </sheetViews>
  <sheetFormatPr defaultRowHeight="15"/>
  <cols>
    <col min="1" max="1" width="6.7109375" customWidth="1"/>
    <col min="2" max="2" width="32.7109375" customWidth="1"/>
    <col min="3" max="3" width="18.7109375" customWidth="1"/>
    <col min="4" max="4" width="24.7109375" customWidth="1"/>
    <col min="5" max="5" width="50.7109375" customWidth="1"/>
  </cols>
  <sheetData>
    <row r="1" spans="1:5" ht="24" customHeight="1">
      <c r="A1" s="1" t="s">
        <v>127</v>
      </c>
    </row>
    <row r="2" spans="1:5" ht="18" customHeight="1">
      <c r="A2" s="2" t="s">
        <v>128</v>
      </c>
    </row>
    <row r="3" spans="1:5" ht="8" customHeight="1"/>
    <row r="4" spans="1:5" ht="22" customHeight="1">
      <c r="A4" s="3" t="s">
        <v>129</v>
      </c>
      <c r="B4" s="3"/>
      <c r="C4" s="3"/>
      <c r="D4" s="3"/>
      <c r="E4" s="3"/>
    </row>
    <row r="5" spans="1:5" ht="20" customHeight="1">
      <c r="A5" s="16" t="s">
        <v>67</v>
      </c>
      <c r="B5" s="4" t="s">
        <v>130</v>
      </c>
      <c r="C5" s="16" t="s">
        <v>131</v>
      </c>
      <c r="D5" s="4" t="s">
        <v>132</v>
      </c>
      <c r="E5" s="4" t="s">
        <v>133</v>
      </c>
    </row>
    <row r="6" spans="1:5" ht="20" customHeight="1">
      <c r="A6" s="17">
        <v>1</v>
      </c>
      <c r="B6" s="6" t="s">
        <v>134</v>
      </c>
      <c r="C6" s="17" t="s">
        <v>135</v>
      </c>
      <c r="D6" s="18" t="s">
        <v>136</v>
      </c>
      <c r="E6" s="7" t="s">
        <v>137</v>
      </c>
    </row>
    <row r="7" spans="1:5" ht="20" customHeight="1">
      <c r="A7" s="17">
        <v>2</v>
      </c>
      <c r="B7" s="6" t="s">
        <v>138</v>
      </c>
      <c r="C7" s="17" t="s">
        <v>139</v>
      </c>
      <c r="D7" s="18" t="s">
        <v>140</v>
      </c>
      <c r="E7" s="7" t="s">
        <v>141</v>
      </c>
    </row>
    <row r="8" spans="1:5" ht="20" customHeight="1">
      <c r="A8" s="17">
        <v>3</v>
      </c>
      <c r="B8" s="6" t="s">
        <v>142</v>
      </c>
      <c r="C8" s="17" t="s">
        <v>143</v>
      </c>
      <c r="D8" s="18" t="s">
        <v>144</v>
      </c>
      <c r="E8" s="7" t="s">
        <v>145</v>
      </c>
    </row>
    <row r="9" spans="1:5" ht="20" customHeight="1">
      <c r="A9" s="17">
        <v>4</v>
      </c>
      <c r="B9" s="6" t="s">
        <v>146</v>
      </c>
      <c r="C9" s="17" t="s">
        <v>147</v>
      </c>
      <c r="D9" s="18" t="s">
        <v>148</v>
      </c>
      <c r="E9" s="7" t="s">
        <v>149</v>
      </c>
    </row>
    <row r="10" spans="1:5" ht="20" customHeight="1">
      <c r="A10" s="17">
        <v>5</v>
      </c>
      <c r="B10" s="6" t="s">
        <v>150</v>
      </c>
      <c r="C10" s="17" t="s">
        <v>151</v>
      </c>
      <c r="D10" s="18" t="s">
        <v>152</v>
      </c>
      <c r="E10" s="7" t="s">
        <v>153</v>
      </c>
    </row>
    <row r="11" spans="1:5" ht="20" customHeight="1">
      <c r="A11" s="17">
        <v>6</v>
      </c>
      <c r="B11" s="6" t="s">
        <v>154</v>
      </c>
      <c r="C11" s="17" t="s">
        <v>155</v>
      </c>
      <c r="D11" s="18" t="s">
        <v>156</v>
      </c>
      <c r="E11" s="7" t="s">
        <v>157</v>
      </c>
    </row>
    <row r="12" spans="1:5" ht="20" customHeight="1">
      <c r="A12" s="20"/>
      <c r="B12" s="9" t="s">
        <v>158</v>
      </c>
      <c r="C12" s="20" t="s">
        <v>159</v>
      </c>
      <c r="D12" s="21" t="s">
        <v>160</v>
      </c>
      <c r="E12" s="10" t="s">
        <v>161</v>
      </c>
    </row>
    <row r="14" spans="1:5" ht="22" customHeight="1">
      <c r="A14" s="27" t="s">
        <v>162</v>
      </c>
      <c r="B14" s="27"/>
      <c r="C14" s="27"/>
      <c r="D14" s="27"/>
      <c r="E14" s="27"/>
    </row>
    <row r="15" spans="1:5" ht="20" customHeight="1">
      <c r="A15" s="16" t="s">
        <v>67</v>
      </c>
      <c r="B15" s="4" t="s">
        <v>163</v>
      </c>
      <c r="C15" s="16" t="s">
        <v>164</v>
      </c>
      <c r="D15" s="4" t="s">
        <v>165</v>
      </c>
      <c r="E15" s="4" t="s">
        <v>166</v>
      </c>
    </row>
    <row r="16" spans="1:5" ht="20" customHeight="1">
      <c r="A16" s="17">
        <v>1</v>
      </c>
      <c r="B16" s="6" t="s">
        <v>167</v>
      </c>
      <c r="C16" s="17" t="s">
        <v>168</v>
      </c>
      <c r="D16" s="18" t="s">
        <v>169</v>
      </c>
      <c r="E16" s="7" t="s">
        <v>170</v>
      </c>
    </row>
    <row r="17" spans="1:5" ht="20" customHeight="1">
      <c r="A17" s="17">
        <v>2</v>
      </c>
      <c r="B17" s="6" t="s">
        <v>171</v>
      </c>
      <c r="C17" s="17" t="s">
        <v>172</v>
      </c>
      <c r="D17" s="18" t="s">
        <v>173</v>
      </c>
      <c r="E17" s="7" t="s">
        <v>174</v>
      </c>
    </row>
    <row r="18" spans="1:5" ht="20" customHeight="1">
      <c r="A18" s="17">
        <v>3</v>
      </c>
      <c r="B18" s="6" t="s">
        <v>175</v>
      </c>
      <c r="C18" s="17" t="s">
        <v>176</v>
      </c>
      <c r="D18" s="18" t="s">
        <v>177</v>
      </c>
      <c r="E18" s="7" t="s">
        <v>178</v>
      </c>
    </row>
    <row r="19" spans="1:5" ht="20" customHeight="1">
      <c r="A19" s="17">
        <v>4</v>
      </c>
      <c r="B19" s="6" t="s">
        <v>179</v>
      </c>
      <c r="C19" s="17" t="s">
        <v>180</v>
      </c>
      <c r="D19" s="18" t="s">
        <v>181</v>
      </c>
      <c r="E19" s="7" t="s">
        <v>182</v>
      </c>
    </row>
    <row r="20" spans="1:5" ht="20" customHeight="1">
      <c r="A20" s="17">
        <v>5</v>
      </c>
      <c r="B20" s="6" t="s">
        <v>183</v>
      </c>
      <c r="C20" s="17" t="s">
        <v>184</v>
      </c>
      <c r="D20" s="18" t="s">
        <v>185</v>
      </c>
      <c r="E20" s="7" t="s">
        <v>186</v>
      </c>
    </row>
    <row r="21" spans="1:5" ht="20" customHeight="1">
      <c r="A21" s="17">
        <v>6</v>
      </c>
      <c r="B21" s="6" t="s">
        <v>187</v>
      </c>
      <c r="C21" s="17" t="s">
        <v>188</v>
      </c>
      <c r="D21" s="18" t="s">
        <v>185</v>
      </c>
      <c r="E21" s="7" t="s">
        <v>189</v>
      </c>
    </row>
    <row r="22" spans="1:5" ht="20" customHeight="1">
      <c r="A22" s="17">
        <v>7</v>
      </c>
      <c r="B22" s="6" t="s">
        <v>190</v>
      </c>
      <c r="C22" s="17" t="s">
        <v>191</v>
      </c>
      <c r="D22" s="18" t="s">
        <v>185</v>
      </c>
      <c r="E22" s="7" t="s">
        <v>192</v>
      </c>
    </row>
  </sheetData>
  <mergeCells count="2">
    <mergeCell ref="A4:E4"/>
    <mergeCell ref="A14:E14"/>
  </mergeCells>
  <printOptions gridLines="1"/>
  <pageMargins left="0.5" right="0.5" top="0.6" bottom="0.6" header="0.3" footer="0.3"/>
  <pageSetup paperSize="9" orientation="portrait"/>
  <headerFooter>
    <oddHeader>&amp;R&amp;8IGA Supermarket — Technical Capacity Sizing</oddHeader>
    <oddFooter>&amp;C&amp;8Pearcedale IGA | 32-Channel Edge AI Video Analytics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Hardware BOM</vt:lpstr>
      <vt:lpstr>Budget &amp; Pricing Analysis</vt:lpstr>
      <vt:lpstr>Workload &amp; Sizing 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2026-09-14T11:35:34Z</dcterms:created>
  <dcterms:modified xsi:type="dcterms:W3CDTF">2026-09-14T11:35:34Z</dcterms:modified>
</cp:coreProperties>
</file>